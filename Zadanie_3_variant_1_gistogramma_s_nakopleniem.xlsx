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Гистограмма варианта 1" sheetId="2" r:id="rId2"/>
    <sheet name="Пояснения" sheetId="3" r:id="rId3"/>
  </sheets>
  <calcPr calcId="124519" fullCalcOnLoad="1"/>
</workbook>
</file>

<file path=xl/sharedStrings.xml><?xml version="1.0" encoding="utf-8"?>
<sst xmlns="http://schemas.openxmlformats.org/spreadsheetml/2006/main" count="36" uniqueCount="34">
  <si>
    <t>Задание № 3. Выручка предприятия, млн руб.</t>
  </si>
  <si>
    <t>Период</t>
  </si>
  <si>
    <t>1 и 11</t>
  </si>
  <si>
    <t>2 и 9</t>
  </si>
  <si>
    <t>3 и 13</t>
  </si>
  <si>
    <t>4 и 10</t>
  </si>
  <si>
    <t>5 и 16</t>
  </si>
  <si>
    <t>6 и 12</t>
  </si>
  <si>
    <t>7 и 14</t>
  </si>
  <si>
    <t>8 и 15</t>
  </si>
  <si>
    <t>Жёлтым выделен вариант 1 (столбец B). Меняйте значения — график обновится.</t>
  </si>
  <si>
    <t>Вариант 1 — изменения выручки по периодам</t>
  </si>
  <si>
    <t>Гистограмма с накоплением по образцу рисунка 37</t>
  </si>
  <si>
    <t>Выручка</t>
  </si>
  <si>
    <t>Невидимая основа</t>
  </si>
  <si>
    <t>Рост</t>
  </si>
  <si>
    <t>Снижение</t>
  </si>
  <si>
    <t>Принцип:</t>
  </si>
  <si>
    <t>Невидимая основа + рост/снижение дают плавающие столбцы, как на рисунке 37.</t>
  </si>
  <si>
    <t>Обновление:</t>
  </si>
  <si>
    <t>Изменяйте жёлтые значения на листе «Исходные данные» → диаграмма пересчитывается.</t>
  </si>
  <si>
    <t>Задание 3</t>
  </si>
  <si>
    <t>Вариант</t>
  </si>
  <si>
    <t>1 (общая колонка 1 и 11)</t>
  </si>
  <si>
    <t>Тип</t>
  </si>
  <si>
    <t>Гистограмма с накоплением (столбцы с невидимой базой)</t>
  </si>
  <si>
    <t>Изменения</t>
  </si>
  <si>
    <t>Рост — синий, снижение — красный</t>
  </si>
  <si>
    <t>Редактирование</t>
  </si>
  <si>
    <t>Введите новые значения выручки в столбец B на листе «Исходные данные»</t>
  </si>
  <si>
    <t>Проверка</t>
  </si>
  <si>
    <t>Используется 6 периодов; первому периоду соответствует начальный уровень без столбца изменений</t>
  </si>
  <si>
    <t>Примечание</t>
  </si>
  <si>
    <t>Рис. 37 показывает изменения от предыдущего уровня; диаграмма повторяет этот приём.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</si>
</sst>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7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25466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выручки по периодам, млн руб.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Основа</c:v>
          </c:tx>
          <c:spPr>
            <a:noFill/>
            <a:ln>
              <a:noFill/>
            </a:ln>
          </c:spPr>
          <c:cat>
            <c:numRef>
              <c:f>'Гистограмма варианта 1'!$A$6:$A$10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'Гистограмма варианта 1'!$C$6:$C$10</c:f>
              <c:numCache>
                <c:formatCode>General</c:formatCode>
                <c:ptCount val="5"/>
                <c:pt idx="0">
                  <c:v>305</c:v>
                </c:pt>
                <c:pt idx="1">
                  <c:v>450</c:v>
                </c:pt>
                <c:pt idx="2">
                  <c:v>498</c:v>
                </c:pt>
                <c:pt idx="3">
                  <c:v>307</c:v>
                </c:pt>
                <c:pt idx="4">
                  <c:v>307</c:v>
                </c:pt>
              </c:numCache>
            </c:numRef>
          </c:val>
        </c:ser>
        <c:ser>
          <c:idx val="1"/>
          <c:order val="1"/>
          <c:tx>
            <c:v>Рост</c:v>
          </c:tx>
          <c:spPr>
            <a:solidFill>
              <a:srgbClr val="4472C4"/>
            </a:solidFill>
            <a:ln>
              <a:noFill/>
            </a:ln>
          </c:spPr>
          <c:cat>
            <c:numRef>
              <c:f>'Гистограмма варианта 1'!$A$6:$A$10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'Гистограмма варианта 1'!$D$6:$D$10</c:f>
              <c:numCache>
                <c:formatCode>General</c:formatCode>
                <c:ptCount val="5"/>
                <c:pt idx="0">
                  <c:v>145</c:v>
                </c:pt>
                <c:pt idx="1">
                  <c:v>270</c:v>
                </c:pt>
                <c:pt idx="2">
                  <c:v>0</c:v>
                </c:pt>
                <c:pt idx="3">
                  <c:v>0</c:v>
                </c:pt>
                <c:pt idx="4">
                  <c:v>108</c:v>
                </c:pt>
              </c:numCache>
            </c:numRef>
          </c:val>
        </c:ser>
        <c:ser>
          <c:idx val="2"/>
          <c:order val="2"/>
          <c:tx>
            <c:v>Снижение</c:v>
          </c:tx>
          <c:spPr>
            <a:solidFill>
              <a:srgbClr val="C0504D"/>
            </a:solidFill>
            <a:ln>
              <a:noFill/>
            </a:ln>
          </c:spPr>
          <c:cat>
            <c:numRef>
              <c:f>'Гистограмма варианта 1'!$A$6:$A$10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'Гистограмма варианта 1'!$E$6:$E$10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222</c:v>
                </c:pt>
                <c:pt idx="3">
                  <c:v>191</c:v>
                </c:pt>
                <c:pt idx="4">
                  <c:v>0</c:v>
                </c:pt>
              </c:numCache>
            </c:numRef>
          </c:val>
        </c:ser>
        <c:gapWidth val="38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Период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Выручка, млн руб.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0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38100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9" width="13.7109375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4">
        <v>305</v>
      </c>
      <c r="C4" s="3">
        <v>172</v>
      </c>
      <c r="D4" s="3">
        <v>248</v>
      </c>
      <c r="E4" s="3">
        <v>715</v>
      </c>
      <c r="F4" s="3">
        <v>713</v>
      </c>
      <c r="G4" s="3">
        <v>270</v>
      </c>
      <c r="H4" s="3">
        <v>316</v>
      </c>
      <c r="I4" s="3">
        <v>341</v>
      </c>
    </row>
    <row r="5" spans="1:9">
      <c r="A5" s="3">
        <v>2</v>
      </c>
      <c r="B5" s="4">
        <v>450</v>
      </c>
      <c r="C5" s="3">
        <v>153</v>
      </c>
      <c r="D5" s="3">
        <v>572</v>
      </c>
      <c r="E5" s="3">
        <v>610</v>
      </c>
      <c r="F5" s="3">
        <v>810</v>
      </c>
      <c r="G5" s="3">
        <v>348</v>
      </c>
      <c r="H5" s="3">
        <v>728</v>
      </c>
      <c r="I5" s="3">
        <v>534</v>
      </c>
    </row>
    <row r="6" spans="1:9">
      <c r="A6" s="3">
        <v>3</v>
      </c>
      <c r="B6" s="4">
        <v>720</v>
      </c>
      <c r="C6" s="3">
        <v>168</v>
      </c>
      <c r="D6" s="3">
        <v>352</v>
      </c>
      <c r="E6" s="3">
        <v>345</v>
      </c>
      <c r="F6" s="3">
        <v>201</v>
      </c>
      <c r="G6" s="3">
        <v>439</v>
      </c>
      <c r="H6" s="3">
        <v>461</v>
      </c>
      <c r="I6" s="3">
        <v>495</v>
      </c>
    </row>
    <row r="7" spans="1:9">
      <c r="A7" s="3">
        <v>4</v>
      </c>
      <c r="B7" s="4">
        <v>498</v>
      </c>
      <c r="C7" s="3">
        <v>174</v>
      </c>
      <c r="D7" s="3">
        <v>145</v>
      </c>
      <c r="E7" s="3">
        <v>504</v>
      </c>
      <c r="F7" s="3">
        <v>105</v>
      </c>
      <c r="G7" s="3">
        <v>140</v>
      </c>
      <c r="H7" s="3">
        <v>826</v>
      </c>
      <c r="I7" s="3">
        <v>189</v>
      </c>
    </row>
    <row r="8" spans="1:9">
      <c r="A8" s="3">
        <v>5</v>
      </c>
      <c r="B8" s="4">
        <v>307</v>
      </c>
      <c r="C8" s="3">
        <v>125</v>
      </c>
      <c r="D8" s="3">
        <v>620</v>
      </c>
      <c r="E8" s="3">
        <v>312</v>
      </c>
      <c r="F8" s="3">
        <v>50</v>
      </c>
      <c r="G8" s="3">
        <v>170</v>
      </c>
      <c r="H8" s="3">
        <v>514</v>
      </c>
      <c r="I8" s="3">
        <v>294</v>
      </c>
    </row>
    <row r="9" spans="1:9">
      <c r="A9" s="3">
        <v>6</v>
      </c>
      <c r="B9" s="4">
        <v>415</v>
      </c>
      <c r="C9" s="3">
        <v>147</v>
      </c>
      <c r="D9" s="3">
        <v>230</v>
      </c>
      <c r="E9" s="3">
        <v>601</v>
      </c>
      <c r="F9" s="3">
        <v>340</v>
      </c>
      <c r="G9" s="3">
        <v>95</v>
      </c>
      <c r="H9" s="3">
        <v>718</v>
      </c>
      <c r="I9" s="3">
        <v>116</v>
      </c>
    </row>
    <row r="11" spans="1:9" ht="39.75" customHeight="1">
      <c r="A11" s="5" t="s">
        <v>10</v>
      </c>
      <c r="B11" s="5"/>
      <c r="C11" s="5"/>
      <c r="D11" s="5"/>
      <c r="E11" s="5"/>
      <c r="F11" s="5"/>
      <c r="G11" s="5"/>
      <c r="H11" s="5"/>
      <c r="I11" s="5"/>
    </row>
  </sheetData>
  <mergeCells count="1">
    <mergeCell ref="A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5" width="19.7109375" customWidth="1"/>
    <col min="6" max="12" width="15.7109375" customWidth="1"/>
  </cols>
  <sheetData>
    <row r="1" spans="1:8">
      <c r="A1" s="1" t="s">
        <v>11</v>
      </c>
    </row>
    <row r="2" spans="1:8">
      <c r="A2" s="5" t="s">
        <v>12</v>
      </c>
    </row>
    <row r="4" spans="1:8">
      <c r="A4" s="2" t="s">
        <v>1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8">
      <c r="A5" s="3">
        <v>1</v>
      </c>
      <c r="B5" s="4">
        <f>'Исходные данные'!B4</f>
        <v>305</v>
      </c>
      <c r="C5" s="3">
        <f>B5</f>
        <v>305</v>
      </c>
      <c r="D5" s="3">
        <f>0</f>
        <v>0</v>
      </c>
      <c r="E5" s="3">
        <f>0</f>
        <v>0</v>
      </c>
    </row>
    <row r="6" spans="1:8">
      <c r="A6" s="3">
        <v>2</v>
      </c>
      <c r="B6" s="4">
        <f>'Исходные данные'!B5</f>
        <v>450</v>
      </c>
      <c r="C6" s="3">
        <f>MIN(B5,B6)</f>
        <v>305</v>
      </c>
      <c r="D6" s="3">
        <f>MAX(0,B6-B5)</f>
        <v>145</v>
      </c>
      <c r="E6" s="3">
        <f>MAX(0,B5-B6)</f>
        <v>0</v>
      </c>
    </row>
    <row r="7" spans="1:8">
      <c r="A7" s="3">
        <v>3</v>
      </c>
      <c r="B7" s="4">
        <f>'Исходные данные'!B6</f>
        <v>720</v>
      </c>
      <c r="C7" s="3">
        <f>MIN(B6,B7)</f>
        <v>450</v>
      </c>
      <c r="D7" s="3">
        <f>MAX(0,B7-B6)</f>
        <v>270</v>
      </c>
      <c r="E7" s="3">
        <f>MAX(0,B6-B7)</f>
        <v>0</v>
      </c>
    </row>
    <row r="8" spans="1:8">
      <c r="A8" s="3">
        <v>4</v>
      </c>
      <c r="B8" s="4">
        <f>'Исходные данные'!B7</f>
        <v>498</v>
      </c>
      <c r="C8" s="3">
        <f>MIN(B7,B8)</f>
        <v>498</v>
      </c>
      <c r="D8" s="3">
        <f>MAX(0,B8-B7)</f>
        <v>0</v>
      </c>
      <c r="E8" s="3">
        <f>MAX(0,B7-B8)</f>
        <v>222</v>
      </c>
    </row>
    <row r="9" spans="1:8">
      <c r="A9" s="3">
        <v>5</v>
      </c>
      <c r="B9" s="4">
        <f>'Исходные данные'!B8</f>
        <v>307</v>
      </c>
      <c r="C9" s="3">
        <f>MIN(B8,B9)</f>
        <v>307</v>
      </c>
      <c r="D9" s="3">
        <f>MAX(0,B9-B8)</f>
        <v>0</v>
      </c>
      <c r="E9" s="3">
        <f>MAX(0,B8-B9)</f>
        <v>191</v>
      </c>
    </row>
    <row r="10" spans="1:8">
      <c r="A10" s="3">
        <v>6</v>
      </c>
      <c r="B10" s="4">
        <f>'Исходные данные'!B9</f>
        <v>415</v>
      </c>
      <c r="C10" s="3">
        <f>MIN(B9,B10)</f>
        <v>307</v>
      </c>
      <c r="D10" s="3">
        <f>MAX(0,B10-B9)</f>
        <v>108</v>
      </c>
      <c r="E10" s="3">
        <f>MAX(0,B9-B10)</f>
        <v>0</v>
      </c>
    </row>
    <row r="12" spans="1:8">
      <c r="A12" s="6" t="s">
        <v>17</v>
      </c>
      <c r="B12" s="5" t="s">
        <v>18</v>
      </c>
      <c r="C12" s="5"/>
      <c r="D12" s="5"/>
      <c r="E12" s="5"/>
      <c r="F12" s="5"/>
      <c r="G12" s="5"/>
      <c r="H12" s="5"/>
    </row>
    <row r="13" spans="1:8">
      <c r="A13" s="6" t="s">
        <v>19</v>
      </c>
      <c r="B13" s="5" t="s">
        <v>20</v>
      </c>
      <c r="C13" s="5"/>
      <c r="D13" s="5"/>
      <c r="E13" s="5"/>
      <c r="F13" s="5"/>
      <c r="G13" s="5"/>
      <c r="H13" s="5"/>
    </row>
  </sheetData>
  <mergeCells count="2">
    <mergeCell ref="B12:H12"/>
    <mergeCell ref="B13:H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1" t="s">
        <v>21</v>
      </c>
    </row>
    <row r="3" spans="1:2">
      <c r="A3" s="6" t="s">
        <v>22</v>
      </c>
      <c r="B3" t="s">
        <v>23</v>
      </c>
    </row>
    <row r="4" spans="1:2">
      <c r="A4" s="6" t="s">
        <v>24</v>
      </c>
      <c r="B4" t="s">
        <v>25</v>
      </c>
    </row>
    <row r="5" spans="1:2">
      <c r="A5" s="6" t="s">
        <v>26</v>
      </c>
      <c r="B5" t="s">
        <v>27</v>
      </c>
    </row>
    <row r="6" spans="1:2">
      <c r="A6" s="6" t="s">
        <v>28</v>
      </c>
      <c r="B6" t="s">
        <v>29</v>
      </c>
    </row>
    <row r="7" spans="1:2">
      <c r="A7" s="6" t="s">
        <v>30</v>
      </c>
      <c r="B7" t="s">
        <v>31</v>
      </c>
    </row>
    <row r="9" spans="1:2">
      <c r="A9" s="6" t="s">
        <v>32</v>
      </c>
      <c r="B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Гистограмма варианта 1</vt:lpstr>
      <vt:lpstr>Пояснения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2026-10-24T13:15:11Z</dcterms:created>
  <dcterms:modified xsi:type="dcterms:W3CDTF">2026-10-24T13:15:11Z</dcterms:modified>
</cp:coreProperties>
</file>